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5" windowWidth="14805" windowHeight="8010" tabRatio="744" activeTab="2"/>
  </bookViews>
  <sheets>
    <sheet name="QA" sheetId="12" r:id="rId1"/>
    <sheet name="Sheet1" sheetId="13" r:id="rId2"/>
    <sheet name="PRICE" sheetId="11" r:id="rId3"/>
    <sheet name="Sheet3" sheetId="15" r:id="rId4"/>
  </sheets>
  <definedNames>
    <definedName name="_xlnm.Print_Area" localSheetId="0">QA!$A$1:$H$14</definedName>
  </definedNames>
  <calcPr calcId="152511"/>
</workbook>
</file>

<file path=xl/calcChain.xml><?xml version="1.0" encoding="utf-8"?>
<calcChain xmlns="http://schemas.openxmlformats.org/spreadsheetml/2006/main">
  <c r="E6" i="12" l="1"/>
  <c r="G17" i="12" l="1"/>
  <c r="I5" i="12" l="1"/>
  <c r="D23" i="12" l="1"/>
  <c r="D21" i="12"/>
  <c r="D20" i="12"/>
  <c r="E19" i="12"/>
  <c r="D19" i="12"/>
  <c r="E22" i="12" l="1"/>
  <c r="I8" i="12" l="1"/>
  <c r="E12" i="12"/>
  <c r="E23" i="12" s="1"/>
  <c r="E8" i="12"/>
  <c r="E4" i="12"/>
  <c r="E9" i="12"/>
  <c r="E5" i="12"/>
  <c r="E11" i="12"/>
  <c r="E7" i="12"/>
  <c r="E10" i="12"/>
  <c r="E14" i="12" l="1"/>
  <c r="E17" i="12" s="1"/>
  <c r="E21" i="12"/>
  <c r="I7" i="12"/>
  <c r="E20" i="12"/>
  <c r="I6" i="12"/>
  <c r="E24" i="12" l="1"/>
  <c r="I9" i="12"/>
</calcChain>
</file>

<file path=xl/sharedStrings.xml><?xml version="1.0" encoding="utf-8"?>
<sst xmlns="http://schemas.openxmlformats.org/spreadsheetml/2006/main" count="160" uniqueCount="143">
  <si>
    <t>PARTICULARS</t>
  </si>
  <si>
    <t xml:space="preserve">Ex Showroom </t>
  </si>
  <si>
    <t xml:space="preserve">Insurance </t>
  </si>
  <si>
    <t>Life Tax</t>
  </si>
  <si>
    <t>Temp</t>
  </si>
  <si>
    <t>RSA</t>
  </si>
  <si>
    <t>Yellow Paint &amp; Handling</t>
  </si>
  <si>
    <t>Fast Tag</t>
  </si>
  <si>
    <t>Accessories</t>
  </si>
  <si>
    <t>TCS 1 %</t>
  </si>
  <si>
    <t>Total Cost</t>
  </si>
  <si>
    <t>VEERO 1.5XL SD V2  - ( 9 Feet )</t>
  </si>
  <si>
    <t>VEERO 1.5XL CBC V2  - ( 9 Feet )</t>
  </si>
  <si>
    <t>VEERO 1.6XL SD V2  - ( 9 Feet )</t>
  </si>
  <si>
    <t>VEERO 1.5XXL SD V 2  - ( 10 Feet )</t>
  </si>
  <si>
    <t>VEERO 1.5XXL SD V 2  - ( 10 Feet ) Air Bag</t>
  </si>
  <si>
    <t>VEERO 1.5XXL CBC V2  - ( 10 Feet )</t>
  </si>
  <si>
    <t>VEERO 1.5XXL HD V2  - ( 10 Feet )</t>
  </si>
  <si>
    <t>VEERO 1.5XXL SD V4  - ( 10 Feet )</t>
  </si>
  <si>
    <t>VEERO 1.5XXL SD V4  - ( 10 Feet ) Air Bag</t>
  </si>
  <si>
    <t>VEERO 1.5XXL SD V6  - ( 10 Feet )</t>
  </si>
  <si>
    <t>VEERO 1.6XXL SD V2  - ( 10 Feet )</t>
  </si>
  <si>
    <t>VEERO 1.6XXL SD V 2  - ( 10 Feet ) Air Bag</t>
  </si>
  <si>
    <t>VEERO 1.6XXL CBC V2  - ( 10 Feet )</t>
  </si>
  <si>
    <t>VEERO 1.6XXL HD V2  - ( 10 Feet )</t>
  </si>
  <si>
    <t>VEERO 1.6XXL SD V4  - ( 10 Feet )</t>
  </si>
  <si>
    <t>VEERO 1.6XXL SD V6  - ( 10 Feet )</t>
  </si>
  <si>
    <t>VEERO 1.4XXL SD V2 CNG</t>
  </si>
  <si>
    <t>VEERO 1.4XXL SD V4 CNG - Airbag</t>
  </si>
  <si>
    <t>SUPRO MAXI PROFIT TRUCK VX (PS)</t>
  </si>
  <si>
    <t>SUPRO MINI PROFITTRUCK LX</t>
  </si>
  <si>
    <t>SUPRO MINI PROFITTRUCK VX</t>
  </si>
  <si>
    <t>SUPRO MINITRUCK EXCEL BS6.2</t>
  </si>
  <si>
    <t>SUPRO MINITRUCK EXCEL CNG DUO BS6.2</t>
  </si>
  <si>
    <t>JEETO PLUS ( DIESEL) - (6 Feet )</t>
  </si>
  <si>
    <t>JEETO STRONG ( DIESEL) - (7.5 Feet )</t>
  </si>
  <si>
    <t>JEETO PLUS ( PETROL)</t>
  </si>
  <si>
    <t>JEETO STORNG ( CNG ) 400</t>
  </si>
  <si>
    <t>ALFA PLUS</t>
  </si>
  <si>
    <t xml:space="preserve">ALFA PASS DX </t>
  </si>
  <si>
    <t>ZOR GRAND DV PLUS</t>
  </si>
  <si>
    <t>ZOR GRAND -3W CARGO</t>
  </si>
  <si>
    <t>UDO ST</t>
  </si>
  <si>
    <t>MAHINDRA ZEO V1 -CARGO</t>
  </si>
  <si>
    <t>MAHINDRA ZEO V1 DV 200</t>
  </si>
  <si>
    <t>MAHINDRA ZEO V2 -CARGO</t>
  </si>
  <si>
    <t>MAHINDRA ZEO V2 DV 200</t>
  </si>
  <si>
    <t>Model</t>
  </si>
  <si>
    <t>HDFC</t>
  </si>
  <si>
    <t>HDFC BANK LTD</t>
  </si>
  <si>
    <t>CHOLA</t>
  </si>
  <si>
    <t>CHOLAMANDALAM INVESTMENT AND FINANCE COMPANY LTD</t>
  </si>
  <si>
    <t xml:space="preserve">SUNDARAM </t>
  </si>
  <si>
    <t>SUNDARAM FINANCE LIMITED</t>
  </si>
  <si>
    <t xml:space="preserve">HINDUJA </t>
  </si>
  <si>
    <t>HINDUJA LEYLAND FINANCE LTD</t>
  </si>
  <si>
    <t>SRI</t>
  </si>
  <si>
    <t>SHRIRAM FINANCE LIMITED</t>
  </si>
  <si>
    <t>MFSL</t>
  </si>
  <si>
    <t>MAHINDRA AND MAHINDRA FINANCIAL SERVICES LTD</t>
  </si>
  <si>
    <t>HDB</t>
  </si>
  <si>
    <t>HDB FINANCIAL SERVICES LIMITED</t>
  </si>
  <si>
    <t>KOTAK</t>
  </si>
  <si>
    <t>KOTAK MAHINDRA BANK LIMITED</t>
  </si>
  <si>
    <t>EQUITAS</t>
  </si>
  <si>
    <t xml:space="preserve">EQUITAS SMALL FINANCE BANK LTD </t>
  </si>
  <si>
    <t>GOVE</t>
  </si>
  <si>
    <t>GOVE FINANCE LTD</t>
  </si>
  <si>
    <t>ICIC</t>
  </si>
  <si>
    <t>ICICI BANK LIMITED</t>
  </si>
  <si>
    <t xml:space="preserve">INDOSTAR CAPITAL </t>
  </si>
  <si>
    <t>INDOSTAR CAPITAL FINANCE LTD</t>
  </si>
  <si>
    <t>KARUR VYSYA</t>
  </si>
  <si>
    <t>THE KARUR VYSYA BANK LIMITED</t>
  </si>
  <si>
    <t xml:space="preserve">YES </t>
  </si>
  <si>
    <t>KVB</t>
  </si>
  <si>
    <t>KARUR VYSYA BANK LIMITED</t>
  </si>
  <si>
    <t>IND</t>
  </si>
  <si>
    <t>INDIAN BANK</t>
  </si>
  <si>
    <t>BOI</t>
  </si>
  <si>
    <t xml:space="preserve">BANK OF INDIA </t>
  </si>
  <si>
    <t>INDS</t>
  </si>
  <si>
    <t>INDUSIND BANK LTD</t>
  </si>
  <si>
    <t>SBI</t>
  </si>
  <si>
    <t>STATE BANK OF INDIA</t>
  </si>
  <si>
    <t>TMB</t>
  </si>
  <si>
    <t>TAMILNAD MERCANTILE BANK LTD</t>
  </si>
  <si>
    <t>SRINIDHI FINANCE LTD</t>
  </si>
  <si>
    <t>IDFC</t>
  </si>
  <si>
    <t>IDFC FIRST BANK LIMITED</t>
  </si>
  <si>
    <t>Tamilnad Mercantile Bank</t>
  </si>
  <si>
    <t>Union Bank of India</t>
  </si>
  <si>
    <t>CANARA BANK</t>
  </si>
  <si>
    <t>Bajaj Finance</t>
  </si>
  <si>
    <t>City Union Bank</t>
  </si>
  <si>
    <t>Tata Capital Ltd</t>
  </si>
  <si>
    <t>MAHAVEER FINANCE INDIA LIMITED</t>
  </si>
  <si>
    <t>Federal Bank</t>
  </si>
  <si>
    <t>BOB</t>
  </si>
  <si>
    <t>Bank of Baroda</t>
  </si>
  <si>
    <t xml:space="preserve">AU SMALL FINANCE BANK LIMITED </t>
  </si>
  <si>
    <t>South Indian Bank</t>
  </si>
  <si>
    <t>SMFG India Credit Company Limited</t>
  </si>
  <si>
    <t>hinduja leyland finance</t>
  </si>
  <si>
    <t>MAXX HD 2.0L Vxi AC BS6.2 -(10 Feet )</t>
  </si>
  <si>
    <t>MAXX HD 2.0L SXi AC -(10 Feet )</t>
  </si>
  <si>
    <t>MAXX CITY 1.3 LX BS6.2 - (8.2 Feet )</t>
  </si>
  <si>
    <t>MAXX CITY 1.3 LX CBC BS6.2 - (8.2 Feet )</t>
  </si>
  <si>
    <t>MAXX CITY 1.3 MXi BS6.2</t>
  </si>
  <si>
    <t>MAXX CITY 1.3 SXi AC BS6.2 -(8.2 Feet )</t>
  </si>
  <si>
    <t>MAXX CITY 1.3 VXi AC BS6.2 -(8.2 Feet )</t>
  </si>
  <si>
    <t>MAXX CITY 1.4 LX BS6.2- (8.7 Feet )</t>
  </si>
  <si>
    <t>MAXX CITY 1.4 LX CBC BS6.2 - (8.7 Feet )</t>
  </si>
  <si>
    <t>MAXX CITY 1.4 MXi BS6.2</t>
  </si>
  <si>
    <t>MAXX CITY 1.4 VXi AC BS6.2(8.7 Feet )</t>
  </si>
  <si>
    <t>MAXX CITY LX CNG BS6.2-(8.7 Feet )</t>
  </si>
  <si>
    <t>MAXX HD 1.3 LX BS6.2 -(9 Feet )</t>
  </si>
  <si>
    <t>MAXX HD 1.3 VXi AC BS6.2--(9 Feet )</t>
  </si>
  <si>
    <t>MAXX HD 1.7 LX BS6.2 -(9 Feet )</t>
  </si>
  <si>
    <t>MAXX HD 1.7 LX CBC BS6.2 -(9 Feet )</t>
  </si>
  <si>
    <t>MAXX HD 1.7 MXi BS6.2</t>
  </si>
  <si>
    <t>MAXX HD 1.7 VXi AC BS6.2 -(9 Feet )</t>
  </si>
  <si>
    <t>MAXX HD 1.7L LX BS6.2 -(10 Feet )</t>
  </si>
  <si>
    <t>MAXX HD 1.7L MXi BS6.2</t>
  </si>
  <si>
    <t>MAXX HD 1.7L SXi AC BS6.2 -(10 Feet )</t>
  </si>
  <si>
    <t>MAXX HD 2.0L SXi CBC AC -(10 Feet )</t>
  </si>
  <si>
    <t>MAXX HD LX 1.9 CNG BS6.2</t>
  </si>
  <si>
    <t>BOL PIK UP FB 1.3T -BS6.2 PS -(8.5 Feet )</t>
  </si>
  <si>
    <t>BOL PIK UP FB 1.3T -BS6.2 PS AC (8.5 Feet)</t>
  </si>
  <si>
    <t>BOL PIK UP 4WD BS6.2 - PS -(7.5 Feet )</t>
  </si>
  <si>
    <t>BOL PIK UP 4WD BS6.2 - PS AC -(7.5 Feet )</t>
  </si>
  <si>
    <t>BOL CAMPER 2WD PS BS6.2 -(4.8 Feet )</t>
  </si>
  <si>
    <t>BOL CAMPER 4WD PS BS6.2 -(4.8 Feet )</t>
  </si>
  <si>
    <t>BOL CAMPER GOLD ZX 2WD -(4.8 Feet )</t>
  </si>
  <si>
    <t>E PAYMENT</t>
  </si>
  <si>
    <t>Body bulding</t>
  </si>
  <si>
    <t>LIFE TAX</t>
  </si>
  <si>
    <t>E PAYEMNT</t>
  </si>
  <si>
    <t>Discount</t>
  </si>
  <si>
    <t>RTO CHARGES</t>
  </si>
  <si>
    <t>FINAL COST</t>
  </si>
  <si>
    <t xml:space="preserve">  </t>
  </si>
  <si>
    <t xml:space="preserve"> KA Life 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</si>
</sst>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name val="Calibri"/>
      <family val="2"/>
      <scheme val="minor"/>
    </font>
    <font>
      <sz val="10"/>
      <name val="Arial"/>
      <family val="2"/>
    </font>
    <font>
      <b/>
      <i/>
      <sz val="12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b/>
      <sz val="11"/>
      <color rgb="FF1F1F1F"/>
      <name val="Arial"/>
      <family val="2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CCFFCC"/>
        <bgColor indexed="64"/>
      </patternFill>
    </fill>
    <fill>
      <gradientFill type="path" left="0.5" right="0.5" top="0.5" bottom="0.5">
        <stop position="0">
          <color theme="0"/>
        </stop>
        <stop position="1">
          <color rgb="FFCCFF99"/>
        </stop>
      </gradient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4" fillId="0" borderId="0"/>
    <xf numFmtId="9" fontId="10" fillId="0" borderId="0" applyFont="0" applyFill="0" applyBorder="0" applyAlignment="0" applyProtection="0"/>
  </cellStyleXfs>
  <cellXfs count="39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1" fontId="2" fillId="0" borderId="4" xfId="0" applyNumberFormat="1" applyFont="1" applyBorder="1" applyAlignment="1">
      <alignment horizontal="center" vertical="center"/>
    </xf>
    <xf numFmtId="1" fontId="1" fillId="3" borderId="4" xfId="0" applyNumberFormat="1" applyFont="1" applyFill="1" applyBorder="1" applyAlignment="1">
      <alignment horizontal="center" vertical="center"/>
    </xf>
    <xf numFmtId="1" fontId="3" fillId="0" borderId="5" xfId="0" applyNumberFormat="1" applyFont="1" applyBorder="1" applyAlignment="1">
      <alignment horizontal="center" vertical="center"/>
    </xf>
    <xf numFmtId="1" fontId="3" fillId="0" borderId="5" xfId="1" applyNumberFormat="1" applyFont="1" applyBorder="1" applyAlignment="1">
      <alignment horizontal="center" vertical="center"/>
    </xf>
    <xf numFmtId="1" fontId="3" fillId="5" borderId="5" xfId="0" applyNumberFormat="1" applyFont="1" applyFill="1" applyBorder="1" applyAlignment="1">
      <alignment horizontal="center" vertical="center"/>
    </xf>
    <xf numFmtId="1" fontId="3" fillId="5" borderId="5" xfId="1" applyNumberFormat="1" applyFont="1" applyFill="1" applyBorder="1" applyAlignment="1">
      <alignment horizontal="center" vertical="center"/>
    </xf>
    <xf numFmtId="0" fontId="5" fillId="4" borderId="5" xfId="1" applyFont="1" applyFill="1" applyBorder="1" applyAlignment="1">
      <alignment vertical="center"/>
    </xf>
    <xf numFmtId="0" fontId="6" fillId="5" borderId="5" xfId="0" applyFont="1" applyFill="1" applyBorder="1" applyAlignment="1">
      <alignment vertical="center"/>
    </xf>
    <xf numFmtId="0" fontId="6" fillId="0" borderId="5" xfId="0" applyFont="1" applyBorder="1" applyAlignment="1">
      <alignment vertical="center"/>
    </xf>
    <xf numFmtId="0" fontId="5" fillId="4" borderId="5" xfId="1" applyFont="1" applyFill="1" applyBorder="1" applyAlignment="1">
      <alignment horizontal="center" vertical="center" wrapText="1"/>
    </xf>
    <xf numFmtId="0" fontId="5" fillId="4" borderId="5" xfId="1" applyFont="1" applyFill="1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7" fillId="0" borderId="5" xfId="0" applyFont="1" applyBorder="1" applyAlignment="1">
      <alignment horizontal="left" vertical="center"/>
    </xf>
    <xf numFmtId="0" fontId="0" fillId="5" borderId="6" xfId="0" applyFill="1" applyBorder="1" applyAlignment="1">
      <alignment vertical="center"/>
    </xf>
    <xf numFmtId="0" fontId="8" fillId="0" borderId="5" xfId="0" applyFont="1" applyBorder="1" applyAlignment="1">
      <alignment horizontal="left"/>
    </xf>
    <xf numFmtId="0" fontId="7" fillId="0" borderId="5" xfId="0" applyFont="1" applyBorder="1" applyAlignment="1">
      <alignment horizontal="left"/>
    </xf>
    <xf numFmtId="0" fontId="9" fillId="0" borderId="5" xfId="0" applyFont="1" applyBorder="1" applyAlignment="1">
      <alignment horizontal="left"/>
    </xf>
    <xf numFmtId="0" fontId="0" fillId="0" borderId="5" xfId="0" applyBorder="1" applyAlignment="1">
      <alignment horizontal="center" vertical="center"/>
    </xf>
    <xf numFmtId="0" fontId="7" fillId="0" borderId="7" xfId="0" applyFont="1" applyBorder="1" applyAlignment="1">
      <alignment horizontal="left"/>
    </xf>
    <xf numFmtId="0" fontId="7" fillId="0" borderId="7" xfId="0" applyFont="1" applyBorder="1" applyAlignment="1">
      <alignment horizontal="left" vertical="center"/>
    </xf>
    <xf numFmtId="0" fontId="0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vertical="center"/>
    </xf>
    <xf numFmtId="0" fontId="0" fillId="0" borderId="5" xfId="0" applyBorder="1" applyAlignment="1">
      <alignment horizontal="left" vertical="center"/>
    </xf>
    <xf numFmtId="1" fontId="2" fillId="0" borderId="3" xfId="0" applyNumberFormat="1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2" applyNumberFormat="1" applyFont="1" applyAlignment="1">
      <alignment horizontal="center" vertical="center"/>
    </xf>
    <xf numFmtId="0" fontId="1" fillId="3" borderId="8" xfId="0" applyFont="1" applyFill="1" applyBorder="1" applyAlignment="1">
      <alignment vertical="center"/>
    </xf>
    <xf numFmtId="1" fontId="1" fillId="3" borderId="9" xfId="0" applyNumberFormat="1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vertical="center"/>
    </xf>
    <xf numFmtId="1" fontId="1" fillId="3" borderId="11" xfId="0" applyNumberFormat="1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vertical="center"/>
    </xf>
    <xf numFmtId="0" fontId="0" fillId="0" borderId="13" xfId="0" applyFont="1" applyBorder="1" applyAlignment="1">
      <alignment horizontal="center" vertical="center"/>
    </xf>
    <xf numFmtId="0" fontId="2" fillId="0" borderId="14" xfId="0" applyFont="1" applyFill="1" applyBorder="1" applyAlignment="1">
      <alignment vertical="center"/>
    </xf>
    <xf numFmtId="0" fontId="0" fillId="0" borderId="15" xfId="0" applyFont="1" applyBorder="1" applyAlignment="1">
      <alignment horizontal="center" vertical="center"/>
    </xf>
  </cellXfs>
  <cellStyles count="3">
    <cellStyle name="Normal" xfId="0" builtinId="0"/>
    <cellStyle name="Normal 2" xfId="1"/>
    <cellStyle name="Percent" xfId="2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2:I24"/>
  <sheetViews>
    <sheetView zoomScaleNormal="100" workbookViewId="0">
      <selection activeCell="E6" sqref="E6"/>
    </sheetView>
  </sheetViews>
  <sheetFormatPr defaultRowHeight="15" x14ac:dyDescent="0.25"/>
  <cols>
    <col min="1" max="3" width="9.140625" style="23"/>
    <col min="4" max="4" width="22.5703125" style="23" bestFit="1" customWidth="1"/>
    <col min="5" max="5" width="36.5703125" style="23" bestFit="1" customWidth="1"/>
    <col min="6" max="6" width="9.140625" style="23" customWidth="1"/>
    <col min="7" max="7" width="9.140625" style="23"/>
    <col min="8" max="8" width="13.5703125" style="23" bestFit="1" customWidth="1"/>
    <col min="9" max="9" width="36.42578125" style="23" bestFit="1" customWidth="1"/>
    <col min="10" max="10" width="9.140625" style="23"/>
    <col min="11" max="11" width="14.5703125" style="23" bestFit="1" customWidth="1"/>
    <col min="12" max="12" width="34.85546875" style="23" bestFit="1" customWidth="1"/>
    <col min="13" max="16384" width="9.140625" style="23"/>
  </cols>
  <sheetData>
    <row r="2" spans="4:9" ht="15.75" thickBot="1" x14ac:dyDescent="0.3"/>
    <row r="3" spans="4:9" ht="15.75" thickBot="1" x14ac:dyDescent="0.3">
      <c r="D3" s="24" t="s">
        <v>0</v>
      </c>
      <c r="E3" s="1" t="s">
        <v>106</v>
      </c>
    </row>
    <row r="4" spans="4:9" ht="15.75" thickBot="1" x14ac:dyDescent="0.3">
      <c r="D4" s="2" t="s">
        <v>1</v>
      </c>
      <c r="E4" s="3">
        <f>VLOOKUP($E$3,PRICE!A:J,2,0)</f>
        <v>808500</v>
      </c>
    </row>
    <row r="5" spans="4:9" ht="15.75" thickBot="1" x14ac:dyDescent="0.3">
      <c r="D5" s="2" t="s">
        <v>2</v>
      </c>
      <c r="E5" s="3">
        <f>VLOOKUP($E$3,PRICE!A:J,3,0)</f>
        <v>27736.566899124999</v>
      </c>
      <c r="H5" s="24" t="s">
        <v>0</v>
      </c>
      <c r="I5" s="1" t="str">
        <f>E3</f>
        <v>MAXX CITY 1.3 LX BS6.2 - (8.2 Feet )</v>
      </c>
    </row>
    <row r="6" spans="4:9" ht="15.75" thickBot="1" x14ac:dyDescent="0.3">
      <c r="D6" s="2" t="s">
        <v>142</v>
      </c>
      <c r="E6" s="3">
        <f>VLOOKUP($E$3,PRICE!A:J,4,0)</f>
        <v>69227.8</v>
      </c>
      <c r="H6" s="2" t="s">
        <v>1</v>
      </c>
      <c r="I6" s="3">
        <f>E4</f>
        <v>808500</v>
      </c>
    </row>
    <row r="7" spans="4:9" ht="15.75" thickBot="1" x14ac:dyDescent="0.3">
      <c r="D7" s="2" t="s">
        <v>4</v>
      </c>
      <c r="E7" s="3">
        <f>VLOOKUP($E$3,PRICE!A:J,5,0)</f>
        <v>2524.1210000000001</v>
      </c>
      <c r="H7" s="2" t="s">
        <v>2</v>
      </c>
      <c r="I7" s="3">
        <f>E5</f>
        <v>27736.566899124999</v>
      </c>
    </row>
    <row r="8" spans="4:9" ht="15.75" thickBot="1" x14ac:dyDescent="0.3">
      <c r="D8" s="2" t="s">
        <v>5</v>
      </c>
      <c r="E8" s="3">
        <f>VLOOKUP($E$3,PRICE!A:J,6,0)</f>
        <v>1698</v>
      </c>
      <c r="H8" s="2" t="s">
        <v>134</v>
      </c>
      <c r="I8" s="3">
        <f>E6</f>
        <v>69227.8</v>
      </c>
    </row>
    <row r="9" spans="4:9" ht="15.75" thickBot="1" x14ac:dyDescent="0.3">
      <c r="D9" s="2" t="s">
        <v>6</v>
      </c>
      <c r="E9" s="3">
        <f>VLOOKUP($E$3,PRICE!A:J,7,0)</f>
        <v>3100</v>
      </c>
      <c r="H9" s="25" t="s">
        <v>10</v>
      </c>
      <c r="I9" s="4">
        <f>SUM(I6:I8)</f>
        <v>905464.36689912505</v>
      </c>
    </row>
    <row r="10" spans="4:9" ht="15.75" thickBot="1" x14ac:dyDescent="0.3">
      <c r="D10" s="2" t="s">
        <v>7</v>
      </c>
      <c r="E10" s="3">
        <f>VLOOKUP($E$3,PRICE!A:J,8,0)</f>
        <v>600</v>
      </c>
    </row>
    <row r="11" spans="4:9" ht="15.75" thickBot="1" x14ac:dyDescent="0.3">
      <c r="D11" s="2" t="s">
        <v>8</v>
      </c>
      <c r="E11" s="3">
        <f>VLOOKUP($E$3,PRICE!A:J,9,0)</f>
        <v>5000</v>
      </c>
      <c r="G11" s="23" t="s">
        <v>141</v>
      </c>
    </row>
    <row r="12" spans="4:9" ht="15.75" thickBot="1" x14ac:dyDescent="0.3">
      <c r="D12" s="2" t="s">
        <v>9</v>
      </c>
      <c r="E12" s="3">
        <f>VLOOKUP($E$3,PRICE!A:J,10,0)</f>
        <v>0</v>
      </c>
    </row>
    <row r="13" spans="4:9" ht="15.75" hidden="1" thickBot="1" x14ac:dyDescent="0.3">
      <c r="D13" s="2" t="s">
        <v>135</v>
      </c>
      <c r="E13" s="3">
        <v>0</v>
      </c>
    </row>
    <row r="14" spans="4:9" ht="15.75" thickBot="1" x14ac:dyDescent="0.3">
      <c r="D14" s="31" t="s">
        <v>10</v>
      </c>
      <c r="E14" s="32">
        <f>SUM(E4:E13)</f>
        <v>918386.48789912509</v>
      </c>
    </row>
    <row r="15" spans="4:9" x14ac:dyDescent="0.25">
      <c r="D15" s="35" t="s">
        <v>138</v>
      </c>
      <c r="E15" s="36">
        <v>20333</v>
      </c>
    </row>
    <row r="16" spans="4:9" ht="15.75" thickBot="1" x14ac:dyDescent="0.3">
      <c r="D16" s="37" t="s">
        <v>139</v>
      </c>
      <c r="E16" s="38">
        <v>8000</v>
      </c>
    </row>
    <row r="17" spans="4:9" ht="15.75" thickBot="1" x14ac:dyDescent="0.3">
      <c r="D17" s="33" t="s">
        <v>140</v>
      </c>
      <c r="E17" s="34">
        <f>+E14-G17</f>
        <v>890053.48789912509</v>
      </c>
      <c r="G17" s="23">
        <f>+E16+E15</f>
        <v>28333</v>
      </c>
      <c r="H17" s="30">
        <v>1.5</v>
      </c>
      <c r="I17" s="29" t="s">
        <v>136</v>
      </c>
    </row>
    <row r="18" spans="4:9" ht="15.75" thickBot="1" x14ac:dyDescent="0.3">
      <c r="H18" s="30">
        <v>1.5</v>
      </c>
      <c r="I18" s="29" t="s">
        <v>137</v>
      </c>
    </row>
    <row r="19" spans="4:9" ht="15.75" thickBot="1" x14ac:dyDescent="0.3">
      <c r="D19" s="24" t="str">
        <f>D3</f>
        <v>PARTICULARS</v>
      </c>
      <c r="E19" s="1" t="str">
        <f>E3</f>
        <v>MAXX CITY 1.3 LX BS6.2 - (8.2 Feet )</v>
      </c>
    </row>
    <row r="20" spans="4:9" ht="15.75" thickBot="1" x14ac:dyDescent="0.3">
      <c r="D20" s="2" t="str">
        <f>D4</f>
        <v xml:space="preserve">Ex Showroom </v>
      </c>
      <c r="E20" s="28">
        <f>E4</f>
        <v>808500</v>
      </c>
    </row>
    <row r="21" spans="4:9" ht="15.75" thickBot="1" x14ac:dyDescent="0.3">
      <c r="D21" s="2" t="str">
        <f t="shared" ref="D21:E21" si="0">D5</f>
        <v xml:space="preserve">Insurance </v>
      </c>
      <c r="E21" s="28">
        <f t="shared" si="0"/>
        <v>27736.566899124999</v>
      </c>
    </row>
    <row r="22" spans="4:9" ht="15.75" thickBot="1" x14ac:dyDescent="0.3">
      <c r="D22" s="2" t="s">
        <v>134</v>
      </c>
      <c r="E22" s="28">
        <f>E6</f>
        <v>69227.8</v>
      </c>
    </row>
    <row r="23" spans="4:9" ht="15.75" thickBot="1" x14ac:dyDescent="0.3">
      <c r="D23" s="2" t="str">
        <f>D12</f>
        <v>TCS 1 %</v>
      </c>
      <c r="E23" s="28">
        <f>E12</f>
        <v>0</v>
      </c>
    </row>
    <row r="24" spans="4:9" ht="15.75" thickBot="1" x14ac:dyDescent="0.3">
      <c r="D24" s="26" t="s">
        <v>10</v>
      </c>
      <c r="E24" s="4">
        <f>SUM(E20:E23)</f>
        <v>905464.36689912505</v>
      </c>
    </row>
  </sheetData>
  <dataConsolidate/>
  <dataValidations count="1">
    <dataValidation type="list" allowBlank="1" showInputMessage="1" showErrorMessage="1" sqref="I5">
      <formula1>$A$2:$A$67</formula1>
    </dataValidation>
  </dataValidations>
  <pageMargins left="0.05" right="0.12" top="0.37" bottom="0.38" header="0.3" footer="0.3"/>
  <pageSetup paperSize="9" scale="43" orientation="portrait" horizontalDpi="0" verticalDpi="0" copies="3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PRICE!$A$2:$A$67</xm:f>
          </x14:formula1>
          <xm:sqref>E3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Views>
    <sheetView workbookViewId="0">
      <selection activeCell="B6" sqref="B6"/>
    </sheetView>
  </sheetViews>
  <sheetFormatPr defaultRowHeight="15" x14ac:dyDescent="0.25"/>
  <cols>
    <col min="1" max="1" width="18.5703125" bestFit="1" customWidth="1"/>
    <col min="2" max="2" width="68.140625" bestFit="1" customWidth="1"/>
  </cols>
  <sheetData>
    <row r="1" spans="1:2" x14ac:dyDescent="0.25">
      <c r="A1" s="14" t="s">
        <v>48</v>
      </c>
      <c r="B1" s="15" t="s">
        <v>49</v>
      </c>
    </row>
    <row r="2" spans="1:2" x14ac:dyDescent="0.25">
      <c r="A2" s="16" t="s">
        <v>50</v>
      </c>
      <c r="B2" s="17" t="s">
        <v>51</v>
      </c>
    </row>
    <row r="3" spans="1:2" x14ac:dyDescent="0.25">
      <c r="A3" s="14" t="s">
        <v>52</v>
      </c>
      <c r="B3" s="15" t="s">
        <v>53</v>
      </c>
    </row>
    <row r="4" spans="1:2" x14ac:dyDescent="0.25">
      <c r="A4" s="14" t="s">
        <v>54</v>
      </c>
      <c r="B4" s="15" t="s">
        <v>55</v>
      </c>
    </row>
    <row r="5" spans="1:2" x14ac:dyDescent="0.25">
      <c r="A5" s="14" t="s">
        <v>56</v>
      </c>
      <c r="B5" s="18" t="s">
        <v>57</v>
      </c>
    </row>
    <row r="6" spans="1:2" x14ac:dyDescent="0.25">
      <c r="A6" s="16" t="s">
        <v>58</v>
      </c>
      <c r="B6" s="17" t="s">
        <v>59</v>
      </c>
    </row>
    <row r="7" spans="1:2" x14ac:dyDescent="0.25">
      <c r="A7" s="14" t="s">
        <v>60</v>
      </c>
      <c r="B7" s="15" t="s">
        <v>61</v>
      </c>
    </row>
    <row r="8" spans="1:2" x14ac:dyDescent="0.25">
      <c r="A8" s="14" t="s">
        <v>62</v>
      </c>
      <c r="B8" s="15" t="s">
        <v>63</v>
      </c>
    </row>
    <row r="9" spans="1:2" x14ac:dyDescent="0.25">
      <c r="A9" s="14" t="s">
        <v>64</v>
      </c>
      <c r="B9" s="15" t="s">
        <v>65</v>
      </c>
    </row>
    <row r="10" spans="1:2" x14ac:dyDescent="0.25">
      <c r="A10" s="14" t="s">
        <v>66</v>
      </c>
      <c r="B10" s="15" t="s">
        <v>67</v>
      </c>
    </row>
    <row r="11" spans="1:2" x14ac:dyDescent="0.25">
      <c r="A11" s="14" t="s">
        <v>68</v>
      </c>
      <c r="B11" s="15" t="s">
        <v>69</v>
      </c>
    </row>
    <row r="12" spans="1:2" x14ac:dyDescent="0.25">
      <c r="A12" s="14" t="s">
        <v>70</v>
      </c>
      <c r="B12" s="15" t="s">
        <v>71</v>
      </c>
    </row>
    <row r="13" spans="1:2" x14ac:dyDescent="0.25">
      <c r="A13" s="14" t="s">
        <v>72</v>
      </c>
      <c r="B13" s="15" t="s">
        <v>73</v>
      </c>
    </row>
    <row r="14" spans="1:2" x14ac:dyDescent="0.25">
      <c r="A14" s="14" t="s">
        <v>74</v>
      </c>
      <c r="B14" s="15">
        <v>10</v>
      </c>
    </row>
    <row r="15" spans="1:2" x14ac:dyDescent="0.25">
      <c r="A15" s="14" t="s">
        <v>75</v>
      </c>
      <c r="B15" s="15" t="s">
        <v>76</v>
      </c>
    </row>
    <row r="16" spans="1:2" x14ac:dyDescent="0.25">
      <c r="A16" s="14" t="s">
        <v>77</v>
      </c>
      <c r="B16" s="15" t="s">
        <v>78</v>
      </c>
    </row>
    <row r="17" spans="1:2" x14ac:dyDescent="0.25">
      <c r="A17" s="14" t="s">
        <v>60</v>
      </c>
      <c r="B17" s="15" t="s">
        <v>61</v>
      </c>
    </row>
    <row r="18" spans="1:2" x14ac:dyDescent="0.25">
      <c r="A18" s="14" t="s">
        <v>79</v>
      </c>
      <c r="B18" s="15" t="s">
        <v>80</v>
      </c>
    </row>
    <row r="19" spans="1:2" x14ac:dyDescent="0.25">
      <c r="A19" s="14" t="s">
        <v>81</v>
      </c>
      <c r="B19" s="17" t="s">
        <v>82</v>
      </c>
    </row>
    <row r="20" spans="1:2" x14ac:dyDescent="0.25">
      <c r="A20" s="14" t="s">
        <v>83</v>
      </c>
      <c r="B20" s="15" t="s">
        <v>84</v>
      </c>
    </row>
    <row r="21" spans="1:2" x14ac:dyDescent="0.25">
      <c r="A21" s="14" t="s">
        <v>85</v>
      </c>
      <c r="B21" s="15" t="s">
        <v>86</v>
      </c>
    </row>
    <row r="22" spans="1:2" x14ac:dyDescent="0.25">
      <c r="A22" s="14"/>
      <c r="B22" s="15" t="s">
        <v>87</v>
      </c>
    </row>
    <row r="23" spans="1:2" x14ac:dyDescent="0.25">
      <c r="A23" s="14" t="s">
        <v>88</v>
      </c>
      <c r="B23" s="15" t="s">
        <v>89</v>
      </c>
    </row>
    <row r="24" spans="1:2" x14ac:dyDescent="0.25">
      <c r="A24" s="14"/>
      <c r="B24" s="19" t="s">
        <v>90</v>
      </c>
    </row>
    <row r="25" spans="1:2" x14ac:dyDescent="0.25">
      <c r="A25" s="20"/>
      <c r="B25" s="19" t="s">
        <v>91</v>
      </c>
    </row>
    <row r="26" spans="1:2" x14ac:dyDescent="0.25">
      <c r="A26" s="20"/>
      <c r="B26" s="21" t="s">
        <v>92</v>
      </c>
    </row>
    <row r="27" spans="1:2" x14ac:dyDescent="0.25">
      <c r="A27" s="20"/>
      <c r="B27" s="22" t="s">
        <v>93</v>
      </c>
    </row>
    <row r="28" spans="1:2" x14ac:dyDescent="0.25">
      <c r="A28" s="20"/>
      <c r="B28" s="15" t="s">
        <v>94</v>
      </c>
    </row>
    <row r="29" spans="1:2" x14ac:dyDescent="0.25">
      <c r="A29" s="20"/>
      <c r="B29" s="15" t="s">
        <v>95</v>
      </c>
    </row>
    <row r="30" spans="1:2" x14ac:dyDescent="0.25">
      <c r="A30" s="20"/>
      <c r="B30" s="15" t="s">
        <v>96</v>
      </c>
    </row>
    <row r="31" spans="1:2" x14ac:dyDescent="0.25">
      <c r="A31" s="20"/>
      <c r="B31" s="15" t="s">
        <v>97</v>
      </c>
    </row>
    <row r="32" spans="1:2" x14ac:dyDescent="0.25">
      <c r="A32" s="27" t="s">
        <v>98</v>
      </c>
      <c r="B32" s="15" t="s">
        <v>99</v>
      </c>
    </row>
    <row r="33" spans="1:2" x14ac:dyDescent="0.25">
      <c r="A33" s="20"/>
      <c r="B33" s="15" t="s">
        <v>100</v>
      </c>
    </row>
    <row r="34" spans="1:2" x14ac:dyDescent="0.25">
      <c r="A34" s="20"/>
      <c r="B34" s="15" t="s">
        <v>101</v>
      </c>
    </row>
    <row r="35" spans="1:2" x14ac:dyDescent="0.25">
      <c r="A35" s="20"/>
      <c r="B35" s="15" t="s">
        <v>102</v>
      </c>
    </row>
    <row r="36" spans="1:2" x14ac:dyDescent="0.25">
      <c r="A36" s="20"/>
      <c r="B36" s="15" t="s">
        <v>103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7"/>
  <sheetViews>
    <sheetView tabSelected="1" workbookViewId="0">
      <selection activeCell="E12" sqref="E12"/>
    </sheetView>
  </sheetViews>
  <sheetFormatPr defaultRowHeight="15" x14ac:dyDescent="0.25"/>
  <cols>
    <col min="1" max="1" width="38.42578125" bestFit="1" customWidth="1"/>
    <col min="2" max="2" width="15.28515625" bestFit="1" customWidth="1"/>
    <col min="3" max="3" width="11.42578125" bestFit="1" customWidth="1"/>
    <col min="4" max="4" width="9.140625" bestFit="1" customWidth="1"/>
    <col min="5" max="5" width="7.140625" bestFit="1" customWidth="1"/>
    <col min="6" max="6" width="5.5703125" bestFit="1" customWidth="1"/>
    <col min="7" max="7" width="16.42578125" customWidth="1"/>
    <col min="8" max="8" width="9.7109375" bestFit="1" customWidth="1"/>
    <col min="9" max="9" width="12.7109375" bestFit="1" customWidth="1"/>
    <col min="10" max="10" width="9.140625" bestFit="1" customWidth="1"/>
  </cols>
  <sheetData>
    <row r="1" spans="1:10" ht="31.5" x14ac:dyDescent="0.25">
      <c r="A1" s="13" t="s">
        <v>47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12" t="s">
        <v>6</v>
      </c>
      <c r="H1" s="9" t="s">
        <v>7</v>
      </c>
      <c r="I1" s="9" t="s">
        <v>8</v>
      </c>
      <c r="J1" s="9" t="s">
        <v>9</v>
      </c>
    </row>
    <row r="2" spans="1:10" ht="15.75" x14ac:dyDescent="0.25">
      <c r="A2" s="10" t="s">
        <v>106</v>
      </c>
      <c r="B2" s="5">
        <v>808500</v>
      </c>
      <c r="C2" s="5">
        <v>27736.566899124999</v>
      </c>
      <c r="D2" s="5">
        <v>69227.8</v>
      </c>
      <c r="E2" s="5">
        <v>2524.1210000000001</v>
      </c>
      <c r="F2" s="6">
        <v>1698</v>
      </c>
      <c r="G2" s="6">
        <v>3100</v>
      </c>
      <c r="H2" s="6">
        <v>600</v>
      </c>
      <c r="I2" s="6">
        <v>5000</v>
      </c>
      <c r="J2" s="6">
        <v>0</v>
      </c>
    </row>
    <row r="3" spans="1:10" ht="15.75" x14ac:dyDescent="0.25">
      <c r="A3" s="10" t="s">
        <v>107</v>
      </c>
      <c r="B3" s="5">
        <v>799500</v>
      </c>
      <c r="C3" s="5">
        <v>27648.164558875003</v>
      </c>
      <c r="D3" s="5">
        <v>68500.600000000006</v>
      </c>
      <c r="E3" s="5">
        <v>2500.4869999999996</v>
      </c>
      <c r="F3" s="6">
        <v>1698</v>
      </c>
      <c r="G3" s="6">
        <v>3100</v>
      </c>
      <c r="H3" s="6">
        <v>600</v>
      </c>
      <c r="I3" s="6">
        <v>5000</v>
      </c>
      <c r="J3" s="6">
        <v>0</v>
      </c>
    </row>
    <row r="4" spans="1:10" ht="15.75" x14ac:dyDescent="0.25">
      <c r="A4" s="10" t="s">
        <v>108</v>
      </c>
      <c r="B4" s="5">
        <v>838500</v>
      </c>
      <c r="C4" s="5">
        <v>28031.241366625</v>
      </c>
      <c r="D4" s="5">
        <v>71651.8</v>
      </c>
      <c r="E4" s="5">
        <v>2602.9009999999998</v>
      </c>
      <c r="F4" s="6">
        <v>1698</v>
      </c>
      <c r="G4" s="6">
        <v>3100</v>
      </c>
      <c r="H4" s="6">
        <v>600</v>
      </c>
      <c r="I4" s="6">
        <v>5000</v>
      </c>
      <c r="J4" s="6">
        <v>0</v>
      </c>
    </row>
    <row r="5" spans="1:10" ht="15.75" x14ac:dyDescent="0.25">
      <c r="A5" s="10" t="s">
        <v>109</v>
      </c>
      <c r="B5" s="5">
        <v>833500</v>
      </c>
      <c r="C5" s="5">
        <v>27982.128955375003</v>
      </c>
      <c r="D5" s="5">
        <v>71247.8</v>
      </c>
      <c r="E5" s="5">
        <v>2589.7709999999997</v>
      </c>
      <c r="F5" s="6">
        <v>1698</v>
      </c>
      <c r="G5" s="6">
        <v>3100</v>
      </c>
      <c r="H5" s="6">
        <v>600</v>
      </c>
      <c r="I5" s="6">
        <v>5000</v>
      </c>
      <c r="J5" s="6">
        <v>0</v>
      </c>
    </row>
    <row r="6" spans="1:10" ht="15.75" x14ac:dyDescent="0.25">
      <c r="A6" s="10" t="s">
        <v>110</v>
      </c>
      <c r="B6" s="5">
        <v>853500</v>
      </c>
      <c r="C6" s="5">
        <v>28178.578600375</v>
      </c>
      <c r="D6" s="5">
        <v>72863.8</v>
      </c>
      <c r="E6" s="5">
        <v>2642.2909999999997</v>
      </c>
      <c r="F6" s="6">
        <v>1698</v>
      </c>
      <c r="G6" s="6">
        <v>3100</v>
      </c>
      <c r="H6" s="6">
        <v>600</v>
      </c>
      <c r="I6" s="6">
        <v>5000</v>
      </c>
      <c r="J6" s="6">
        <v>0</v>
      </c>
    </row>
    <row r="7" spans="1:10" ht="15.75" x14ac:dyDescent="0.25">
      <c r="A7" s="10" t="s">
        <v>111</v>
      </c>
      <c r="B7" s="5">
        <v>839500</v>
      </c>
      <c r="C7" s="5">
        <v>28041.063848875001</v>
      </c>
      <c r="D7" s="5">
        <v>71732.600000000006</v>
      </c>
      <c r="E7" s="5">
        <v>2605.527</v>
      </c>
      <c r="F7" s="6">
        <v>1698</v>
      </c>
      <c r="G7" s="6">
        <v>3100</v>
      </c>
      <c r="H7" s="6">
        <v>600</v>
      </c>
      <c r="I7" s="6">
        <v>5000</v>
      </c>
      <c r="J7" s="6">
        <v>0</v>
      </c>
    </row>
    <row r="8" spans="1:10" ht="15.75" x14ac:dyDescent="0.25">
      <c r="A8" s="10" t="s">
        <v>112</v>
      </c>
      <c r="B8" s="5">
        <v>829500</v>
      </c>
      <c r="C8" s="5">
        <v>27942.839026375004</v>
      </c>
      <c r="D8" s="5">
        <v>70924.600000000006</v>
      </c>
      <c r="E8" s="5">
        <v>2579.2669999999998</v>
      </c>
      <c r="F8" s="6">
        <v>1698</v>
      </c>
      <c r="G8" s="6">
        <v>3100</v>
      </c>
      <c r="H8" s="6">
        <v>600</v>
      </c>
      <c r="I8" s="6">
        <v>5000</v>
      </c>
      <c r="J8" s="6">
        <v>0</v>
      </c>
    </row>
    <row r="9" spans="1:10" ht="15.75" x14ac:dyDescent="0.25">
      <c r="A9" s="10" t="s">
        <v>113</v>
      </c>
      <c r="B9" s="5">
        <v>865500</v>
      </c>
      <c r="C9" s="5">
        <v>28296.448387375003</v>
      </c>
      <c r="D9" s="5">
        <v>73833.399999999994</v>
      </c>
      <c r="E9" s="5">
        <v>2673.8030000000003</v>
      </c>
      <c r="F9" s="6">
        <v>1698</v>
      </c>
      <c r="G9" s="6">
        <v>3100</v>
      </c>
      <c r="H9" s="6">
        <v>600</v>
      </c>
      <c r="I9" s="6">
        <v>5000</v>
      </c>
      <c r="J9" s="6">
        <v>0</v>
      </c>
    </row>
    <row r="10" spans="1:10" ht="15.75" x14ac:dyDescent="0.25">
      <c r="A10" s="10" t="s">
        <v>114</v>
      </c>
      <c r="B10" s="5">
        <v>877500</v>
      </c>
      <c r="C10" s="5">
        <v>28414.318174374999</v>
      </c>
      <c r="D10" s="5">
        <v>74803</v>
      </c>
      <c r="E10" s="5">
        <v>2705.3150000000001</v>
      </c>
      <c r="F10" s="6">
        <v>1698</v>
      </c>
      <c r="G10" s="6">
        <v>3100</v>
      </c>
      <c r="H10" s="6">
        <v>600</v>
      </c>
      <c r="I10" s="6">
        <v>5000</v>
      </c>
      <c r="J10" s="6">
        <v>0</v>
      </c>
    </row>
    <row r="11" spans="1:10" ht="15.75" x14ac:dyDescent="0.25">
      <c r="A11" s="10" t="s">
        <v>115</v>
      </c>
      <c r="B11" s="5">
        <v>834500</v>
      </c>
      <c r="C11" s="5">
        <v>27991.951437625001</v>
      </c>
      <c r="D11" s="5">
        <v>71328.600000000006</v>
      </c>
      <c r="E11" s="5">
        <v>2592.3969999999999</v>
      </c>
      <c r="F11" s="6">
        <v>1698</v>
      </c>
      <c r="G11" s="6">
        <v>3100</v>
      </c>
      <c r="H11" s="6">
        <v>600</v>
      </c>
      <c r="I11" s="6">
        <v>5000</v>
      </c>
      <c r="J11" s="6">
        <v>0</v>
      </c>
    </row>
    <row r="12" spans="1:10" ht="15.75" x14ac:dyDescent="0.25">
      <c r="A12" s="11" t="s">
        <v>116</v>
      </c>
      <c r="B12" s="7">
        <v>961500</v>
      </c>
      <c r="C12" s="5">
        <v>29239.406683375004</v>
      </c>
      <c r="D12" s="7">
        <v>81590.2</v>
      </c>
      <c r="E12" s="7">
        <v>2925.8989999999999</v>
      </c>
      <c r="F12" s="6">
        <v>1698</v>
      </c>
      <c r="G12" s="8">
        <v>3300</v>
      </c>
      <c r="H12" s="8">
        <v>600</v>
      </c>
      <c r="I12" s="8">
        <v>5000</v>
      </c>
      <c r="J12" s="8">
        <v>0</v>
      </c>
    </row>
    <row r="13" spans="1:10" ht="15.75" x14ac:dyDescent="0.25">
      <c r="A13" s="10" t="s">
        <v>117</v>
      </c>
      <c r="B13" s="7">
        <v>1013500</v>
      </c>
      <c r="C13" s="5">
        <v>29750.175760375001</v>
      </c>
      <c r="D13" s="7">
        <v>85791.8</v>
      </c>
      <c r="E13" s="7">
        <v>4085.0859999999998</v>
      </c>
      <c r="F13" s="6">
        <v>1698</v>
      </c>
      <c r="G13" s="8">
        <v>3300</v>
      </c>
      <c r="H13" s="8">
        <v>600</v>
      </c>
      <c r="I13" s="8">
        <v>5000</v>
      </c>
      <c r="J13" s="8">
        <v>10135</v>
      </c>
    </row>
    <row r="14" spans="1:10" ht="15.75" x14ac:dyDescent="0.25">
      <c r="A14" s="10" t="s">
        <v>118</v>
      </c>
      <c r="B14" s="7">
        <v>971500</v>
      </c>
      <c r="C14" s="5">
        <v>29337.631505875001</v>
      </c>
      <c r="D14" s="7">
        <v>6129.5</v>
      </c>
      <c r="E14" s="5">
        <v>2952.1590000000001</v>
      </c>
      <c r="F14" s="6">
        <v>1698</v>
      </c>
      <c r="G14" s="8">
        <v>3300</v>
      </c>
      <c r="H14" s="8">
        <v>600</v>
      </c>
      <c r="I14" s="8">
        <v>5000</v>
      </c>
      <c r="J14" s="8">
        <v>0</v>
      </c>
    </row>
    <row r="15" spans="1:10" ht="15.75" x14ac:dyDescent="0.25">
      <c r="A15" s="10" t="s">
        <v>119</v>
      </c>
      <c r="B15" s="7">
        <v>947500</v>
      </c>
      <c r="C15" s="5">
        <v>29101.891931874998</v>
      </c>
      <c r="D15" s="7">
        <v>6129.5</v>
      </c>
      <c r="E15" s="5">
        <v>2889.1350000000002</v>
      </c>
      <c r="F15" s="6">
        <v>1698</v>
      </c>
      <c r="G15" s="8">
        <v>3300</v>
      </c>
      <c r="H15" s="8">
        <v>600</v>
      </c>
      <c r="I15" s="8">
        <v>5000</v>
      </c>
      <c r="J15" s="8">
        <v>0</v>
      </c>
    </row>
    <row r="16" spans="1:10" ht="15.75" x14ac:dyDescent="0.25">
      <c r="A16" s="10" t="s">
        <v>120</v>
      </c>
      <c r="B16" s="7">
        <v>1004500</v>
      </c>
      <c r="C16" s="5">
        <v>29661.773420124999</v>
      </c>
      <c r="D16" s="7">
        <v>6129.5</v>
      </c>
      <c r="E16" s="7">
        <v>4052.3620000000001</v>
      </c>
      <c r="F16" s="6">
        <v>1698</v>
      </c>
      <c r="G16" s="8">
        <v>3300</v>
      </c>
      <c r="H16" s="8">
        <v>600</v>
      </c>
      <c r="I16" s="8">
        <v>5000</v>
      </c>
      <c r="J16" s="8">
        <v>10045</v>
      </c>
    </row>
    <row r="17" spans="1:10" ht="15.75" x14ac:dyDescent="0.25">
      <c r="A17" s="10" t="s">
        <v>121</v>
      </c>
      <c r="B17" s="7">
        <v>1021500</v>
      </c>
      <c r="C17" s="5">
        <v>29828.755618374998</v>
      </c>
      <c r="D17" s="7">
        <v>6129.5</v>
      </c>
      <c r="E17" s="7">
        <v>4114.174</v>
      </c>
      <c r="F17" s="6">
        <v>1698</v>
      </c>
      <c r="G17" s="8">
        <v>3300</v>
      </c>
      <c r="H17" s="8">
        <v>600</v>
      </c>
      <c r="I17" s="8">
        <v>5000</v>
      </c>
      <c r="J17" s="8">
        <v>10215</v>
      </c>
    </row>
    <row r="18" spans="1:10" ht="15.75" x14ac:dyDescent="0.25">
      <c r="A18" s="10" t="s">
        <v>122</v>
      </c>
      <c r="B18" s="7">
        <v>996500</v>
      </c>
      <c r="C18" s="5">
        <v>29583.193562125001</v>
      </c>
      <c r="D18" s="7">
        <v>6129.5</v>
      </c>
      <c r="E18" s="5">
        <v>3017.8090000000002</v>
      </c>
      <c r="F18" s="6">
        <v>1698</v>
      </c>
      <c r="G18" s="8">
        <v>3300</v>
      </c>
      <c r="H18" s="8">
        <v>600</v>
      </c>
      <c r="I18" s="8">
        <v>5000</v>
      </c>
      <c r="J18" s="8">
        <v>0</v>
      </c>
    </row>
    <row r="19" spans="1:10" ht="15.75" x14ac:dyDescent="0.25">
      <c r="A19" s="10" t="s">
        <v>123</v>
      </c>
      <c r="B19" s="7">
        <v>1027500</v>
      </c>
      <c r="C19" s="5">
        <v>29887.690511875004</v>
      </c>
      <c r="D19" s="7">
        <v>6129.5</v>
      </c>
      <c r="E19" s="7">
        <v>4135.99</v>
      </c>
      <c r="F19" s="6">
        <v>1698</v>
      </c>
      <c r="G19" s="8">
        <v>3300</v>
      </c>
      <c r="H19" s="8">
        <v>600</v>
      </c>
      <c r="I19" s="8">
        <v>5000</v>
      </c>
      <c r="J19" s="8">
        <v>10275</v>
      </c>
    </row>
    <row r="20" spans="1:10" ht="15.75" x14ac:dyDescent="0.25">
      <c r="A20" s="10" t="s">
        <v>124</v>
      </c>
      <c r="B20" s="7">
        <v>1028500</v>
      </c>
      <c r="C20" s="5">
        <v>29897.512994125002</v>
      </c>
      <c r="D20" s="7">
        <v>6129.5</v>
      </c>
      <c r="E20" s="7">
        <v>4139.6260000000002</v>
      </c>
      <c r="F20" s="6">
        <v>1698</v>
      </c>
      <c r="G20" s="8">
        <v>3300</v>
      </c>
      <c r="H20" s="8">
        <v>600</v>
      </c>
      <c r="I20" s="8">
        <v>5000</v>
      </c>
      <c r="J20" s="8">
        <v>10285</v>
      </c>
    </row>
    <row r="21" spans="1:10" ht="15.75" x14ac:dyDescent="0.25">
      <c r="A21" s="10" t="s">
        <v>105</v>
      </c>
      <c r="B21" s="7">
        <v>1074500</v>
      </c>
      <c r="C21" s="5">
        <v>30349.347177625001</v>
      </c>
      <c r="D21" s="7">
        <v>6129.5</v>
      </c>
      <c r="E21" s="7">
        <v>4306.8820000000005</v>
      </c>
      <c r="F21" s="6">
        <v>1698</v>
      </c>
      <c r="G21" s="8">
        <v>3300</v>
      </c>
      <c r="H21" s="8">
        <v>600</v>
      </c>
      <c r="I21" s="8">
        <v>5000</v>
      </c>
      <c r="J21" s="8">
        <v>10745</v>
      </c>
    </row>
    <row r="22" spans="1:10" ht="15.75" x14ac:dyDescent="0.25">
      <c r="A22" s="10" t="s">
        <v>125</v>
      </c>
      <c r="B22" s="7">
        <v>1041500</v>
      </c>
      <c r="C22" s="5">
        <v>30025.205263374999</v>
      </c>
      <c r="D22" s="7">
        <v>6129.5</v>
      </c>
      <c r="E22" s="7">
        <v>4186.8939999999993</v>
      </c>
      <c r="F22" s="6">
        <v>1698</v>
      </c>
      <c r="G22" s="8">
        <v>3300</v>
      </c>
      <c r="H22" s="8">
        <v>600</v>
      </c>
      <c r="I22" s="8">
        <v>5000</v>
      </c>
      <c r="J22" s="8">
        <v>10415</v>
      </c>
    </row>
    <row r="23" spans="1:10" ht="15.75" x14ac:dyDescent="0.25">
      <c r="A23" s="10" t="s">
        <v>104</v>
      </c>
      <c r="B23" s="7">
        <v>1104500</v>
      </c>
      <c r="C23" s="5">
        <v>30644.021645125002</v>
      </c>
      <c r="D23" s="7">
        <v>6129.5</v>
      </c>
      <c r="E23" s="7">
        <v>4415.9620000000004</v>
      </c>
      <c r="F23" s="6">
        <v>1698</v>
      </c>
      <c r="G23" s="8">
        <v>3300</v>
      </c>
      <c r="H23" s="8">
        <v>600</v>
      </c>
      <c r="I23" s="8">
        <v>5000</v>
      </c>
      <c r="J23" s="8">
        <v>11045</v>
      </c>
    </row>
    <row r="24" spans="1:10" ht="15.75" x14ac:dyDescent="0.25">
      <c r="A24" s="11" t="s">
        <v>126</v>
      </c>
      <c r="B24" s="7">
        <v>1079500</v>
      </c>
      <c r="C24" s="5">
        <v>30398.459588874997</v>
      </c>
      <c r="D24" s="7">
        <v>6129.5</v>
      </c>
      <c r="E24" s="7">
        <v>4325.0620000000008</v>
      </c>
      <c r="F24" s="6">
        <v>1698</v>
      </c>
      <c r="G24" s="8">
        <v>3300</v>
      </c>
      <c r="H24" s="8">
        <v>600</v>
      </c>
      <c r="I24" s="8">
        <v>5000</v>
      </c>
      <c r="J24" s="8">
        <v>10795</v>
      </c>
    </row>
    <row r="25" spans="1:10" ht="15.75" x14ac:dyDescent="0.25">
      <c r="A25" s="11" t="s">
        <v>127</v>
      </c>
      <c r="B25" s="7">
        <v>1007500</v>
      </c>
      <c r="C25" s="5">
        <v>29691.240866874999</v>
      </c>
      <c r="D25" s="7">
        <v>85307</v>
      </c>
      <c r="E25" s="7">
        <v>4063.27</v>
      </c>
      <c r="F25" s="6">
        <v>1698</v>
      </c>
      <c r="G25" s="8">
        <v>3300</v>
      </c>
      <c r="H25" s="8">
        <v>600</v>
      </c>
      <c r="I25" s="8">
        <v>5000</v>
      </c>
      <c r="J25" s="8">
        <v>10075</v>
      </c>
    </row>
    <row r="26" spans="1:10" ht="15.75" x14ac:dyDescent="0.25">
      <c r="A26" s="11" t="s">
        <v>128</v>
      </c>
      <c r="B26" s="7">
        <v>1032500</v>
      </c>
      <c r="C26" s="5">
        <v>29936.802923125</v>
      </c>
      <c r="D26" s="7">
        <v>87327</v>
      </c>
      <c r="E26" s="7">
        <v>4154.17</v>
      </c>
      <c r="F26" s="6">
        <v>1698</v>
      </c>
      <c r="G26" s="8">
        <v>3300</v>
      </c>
      <c r="H26" s="8">
        <v>600</v>
      </c>
      <c r="I26" s="8">
        <v>5000</v>
      </c>
      <c r="J26" s="8">
        <v>10325</v>
      </c>
    </row>
    <row r="27" spans="1:10" ht="15.75" x14ac:dyDescent="0.25">
      <c r="A27" s="11" t="s">
        <v>129</v>
      </c>
      <c r="B27" s="7">
        <v>1004500</v>
      </c>
      <c r="C27" s="5">
        <v>29661.773420124999</v>
      </c>
      <c r="D27" s="7">
        <v>85064.6</v>
      </c>
      <c r="E27" s="7">
        <v>4052.3620000000001</v>
      </c>
      <c r="F27" s="6">
        <v>1698</v>
      </c>
      <c r="G27" s="8">
        <v>3300</v>
      </c>
      <c r="H27" s="8">
        <v>600</v>
      </c>
      <c r="I27" s="8">
        <v>5000</v>
      </c>
      <c r="J27" s="8">
        <v>10045</v>
      </c>
    </row>
    <row r="28" spans="1:10" ht="15.75" x14ac:dyDescent="0.25">
      <c r="A28" s="11" t="s">
        <v>130</v>
      </c>
      <c r="B28" s="7">
        <v>1032500</v>
      </c>
      <c r="C28" s="5">
        <v>29936.802923125</v>
      </c>
      <c r="D28" s="7">
        <v>87327</v>
      </c>
      <c r="E28" s="7">
        <v>4154.17</v>
      </c>
      <c r="F28" s="6">
        <v>1698</v>
      </c>
      <c r="G28" s="8">
        <v>3300</v>
      </c>
      <c r="H28" s="8">
        <v>600</v>
      </c>
      <c r="I28" s="8">
        <v>5000</v>
      </c>
      <c r="J28" s="8">
        <v>10325</v>
      </c>
    </row>
    <row r="29" spans="1:10" ht="15.75" x14ac:dyDescent="0.25">
      <c r="A29" s="11" t="s">
        <v>131</v>
      </c>
      <c r="B29" s="7">
        <v>1017500</v>
      </c>
      <c r="C29" s="5">
        <v>29789.465689375</v>
      </c>
      <c r="D29" s="7">
        <v>86115</v>
      </c>
      <c r="E29" s="7">
        <v>4099.63</v>
      </c>
      <c r="F29" s="6">
        <v>1698</v>
      </c>
      <c r="G29" s="8">
        <v>3300</v>
      </c>
      <c r="H29" s="8">
        <v>600</v>
      </c>
      <c r="I29" s="8">
        <v>5000</v>
      </c>
      <c r="J29" s="8">
        <v>10175</v>
      </c>
    </row>
    <row r="30" spans="1:10" ht="15.75" x14ac:dyDescent="0.25">
      <c r="A30" s="11" t="s">
        <v>132</v>
      </c>
      <c r="B30" s="7">
        <v>1046500</v>
      </c>
      <c r="C30" s="5">
        <v>30074.317674625003</v>
      </c>
      <c r="D30" s="7">
        <v>88458.2</v>
      </c>
      <c r="E30" s="7">
        <v>4205.0739999999996</v>
      </c>
      <c r="F30" s="6">
        <v>1698</v>
      </c>
      <c r="G30" s="8">
        <v>3300</v>
      </c>
      <c r="H30" s="8">
        <v>600</v>
      </c>
      <c r="I30" s="8">
        <v>5000</v>
      </c>
      <c r="J30" s="8">
        <v>10465</v>
      </c>
    </row>
    <row r="31" spans="1:10" ht="15.75" x14ac:dyDescent="0.25">
      <c r="A31" s="11" t="s">
        <v>133</v>
      </c>
      <c r="B31" s="7">
        <v>1053500</v>
      </c>
      <c r="C31" s="5">
        <v>30143.075050375002</v>
      </c>
      <c r="D31" s="7">
        <v>89023.8</v>
      </c>
      <c r="E31" s="7">
        <v>4230.5260000000007</v>
      </c>
      <c r="F31" s="6">
        <v>1698</v>
      </c>
      <c r="G31" s="8">
        <v>3300</v>
      </c>
      <c r="H31" s="8">
        <v>600</v>
      </c>
      <c r="I31" s="8">
        <v>5000</v>
      </c>
      <c r="J31" s="8">
        <v>10535</v>
      </c>
    </row>
    <row r="32" spans="1:10" ht="15.75" x14ac:dyDescent="0.25">
      <c r="A32" s="11" t="s">
        <v>11</v>
      </c>
      <c r="B32" s="7">
        <v>820500</v>
      </c>
      <c r="C32" s="5">
        <v>27854.436686125002</v>
      </c>
      <c r="D32" s="7">
        <v>70197.399999999994</v>
      </c>
      <c r="E32" s="7">
        <v>2555.6330000000003</v>
      </c>
      <c r="F32" s="6">
        <v>1698</v>
      </c>
      <c r="G32" s="8">
        <v>3100</v>
      </c>
      <c r="H32" s="8">
        <v>600</v>
      </c>
      <c r="I32" s="8">
        <v>5000</v>
      </c>
      <c r="J32" s="8">
        <v>0</v>
      </c>
    </row>
    <row r="33" spans="1:10" ht="15.75" x14ac:dyDescent="0.25">
      <c r="A33" s="11" t="s">
        <v>12</v>
      </c>
      <c r="B33" s="7">
        <v>770500</v>
      </c>
      <c r="C33" s="5">
        <v>27363.312573625</v>
      </c>
      <c r="D33" s="7">
        <v>66157.399999999994</v>
      </c>
      <c r="E33" s="7">
        <v>2424.3330000000001</v>
      </c>
      <c r="F33" s="6">
        <v>1698</v>
      </c>
      <c r="G33" s="8">
        <v>3100</v>
      </c>
      <c r="H33" s="8">
        <v>600</v>
      </c>
      <c r="I33" s="8">
        <v>5000</v>
      </c>
      <c r="J33" s="8">
        <v>0</v>
      </c>
    </row>
    <row r="34" spans="1:10" ht="15.75" x14ac:dyDescent="0.25">
      <c r="A34" s="11" t="s">
        <v>13</v>
      </c>
      <c r="B34" s="7">
        <v>820500</v>
      </c>
      <c r="C34" s="5">
        <v>27854.436686125002</v>
      </c>
      <c r="D34" s="7">
        <v>6129.5</v>
      </c>
      <c r="E34" s="7">
        <v>2555.6330000000003</v>
      </c>
      <c r="F34" s="6">
        <v>1698</v>
      </c>
      <c r="G34" s="8">
        <v>3100</v>
      </c>
      <c r="H34" s="8">
        <v>600</v>
      </c>
      <c r="I34" s="8">
        <v>5000</v>
      </c>
      <c r="J34" s="8">
        <v>0</v>
      </c>
    </row>
    <row r="35" spans="1:10" ht="15.75" x14ac:dyDescent="0.25">
      <c r="A35" s="11" t="s">
        <v>14</v>
      </c>
      <c r="B35" s="7">
        <v>839500</v>
      </c>
      <c r="C35" s="5">
        <v>28041.063848875001</v>
      </c>
      <c r="D35" s="7">
        <v>71732.600000000006</v>
      </c>
      <c r="E35" s="7">
        <v>2605.527</v>
      </c>
      <c r="F35" s="6">
        <v>1698</v>
      </c>
      <c r="G35" s="8">
        <v>3100</v>
      </c>
      <c r="H35" s="8">
        <v>600</v>
      </c>
      <c r="I35" s="8">
        <v>5000</v>
      </c>
      <c r="J35" s="8">
        <v>0</v>
      </c>
    </row>
    <row r="36" spans="1:10" ht="15.75" x14ac:dyDescent="0.25">
      <c r="A36" s="11" t="s">
        <v>15</v>
      </c>
      <c r="B36" s="7">
        <v>853500</v>
      </c>
      <c r="C36" s="5">
        <v>28178.578600375</v>
      </c>
      <c r="D36" s="7">
        <v>72863.8</v>
      </c>
      <c r="E36" s="7">
        <v>2642.2909999999997</v>
      </c>
      <c r="F36" s="6">
        <v>1698</v>
      </c>
      <c r="G36" s="8">
        <v>3100</v>
      </c>
      <c r="H36" s="8">
        <v>600</v>
      </c>
      <c r="I36" s="8">
        <v>5000</v>
      </c>
      <c r="J36" s="8">
        <v>0</v>
      </c>
    </row>
    <row r="37" spans="1:10" ht="15.75" x14ac:dyDescent="0.25">
      <c r="A37" s="11" t="s">
        <v>16</v>
      </c>
      <c r="B37" s="7">
        <v>824500</v>
      </c>
      <c r="C37" s="5">
        <v>27893.726615125001</v>
      </c>
      <c r="D37" s="7">
        <v>70520.600000000006</v>
      </c>
      <c r="E37" s="7">
        <v>2566.1369999999997</v>
      </c>
      <c r="F37" s="6">
        <v>1698</v>
      </c>
      <c r="G37" s="8">
        <v>3100</v>
      </c>
      <c r="H37" s="8">
        <v>600</v>
      </c>
      <c r="I37" s="8">
        <v>5000</v>
      </c>
      <c r="J37" s="8">
        <v>0</v>
      </c>
    </row>
    <row r="38" spans="1:10" ht="15.75" x14ac:dyDescent="0.25">
      <c r="A38" s="11" t="s">
        <v>17</v>
      </c>
      <c r="B38" s="7">
        <v>859500</v>
      </c>
      <c r="C38" s="5">
        <v>28237.513493875005</v>
      </c>
      <c r="D38" s="7">
        <v>73348.600000000006</v>
      </c>
      <c r="E38" s="7">
        <v>2658.0470000000005</v>
      </c>
      <c r="F38" s="6">
        <v>1698</v>
      </c>
      <c r="G38" s="8">
        <v>3100</v>
      </c>
      <c r="H38" s="8">
        <v>600</v>
      </c>
      <c r="I38" s="8">
        <v>5000</v>
      </c>
      <c r="J38" s="8">
        <v>0</v>
      </c>
    </row>
    <row r="39" spans="1:10" ht="15.75" x14ac:dyDescent="0.25">
      <c r="A39" s="11" t="s">
        <v>18</v>
      </c>
      <c r="B39" s="7">
        <v>868500</v>
      </c>
      <c r="C39" s="5">
        <v>28325.915834125</v>
      </c>
      <c r="D39" s="7">
        <v>74075.8</v>
      </c>
      <c r="E39" s="7">
        <v>2681.681</v>
      </c>
      <c r="F39" s="6">
        <v>1698</v>
      </c>
      <c r="G39" s="8">
        <v>3100</v>
      </c>
      <c r="H39" s="8">
        <v>600</v>
      </c>
      <c r="I39" s="8">
        <v>5000</v>
      </c>
      <c r="J39" s="8">
        <v>0</v>
      </c>
    </row>
    <row r="40" spans="1:10" ht="15.75" x14ac:dyDescent="0.25">
      <c r="A40" s="11" t="s">
        <v>19</v>
      </c>
      <c r="B40" s="7">
        <v>882500</v>
      </c>
      <c r="C40" s="5">
        <v>28463.430585625003</v>
      </c>
      <c r="D40" s="7">
        <v>75207</v>
      </c>
      <c r="E40" s="7">
        <v>2718.4450000000002</v>
      </c>
      <c r="F40" s="6">
        <v>1698</v>
      </c>
      <c r="G40" s="8">
        <v>3100</v>
      </c>
      <c r="H40" s="8">
        <v>600</v>
      </c>
      <c r="I40" s="8">
        <v>5000</v>
      </c>
      <c r="J40" s="8">
        <v>0</v>
      </c>
    </row>
    <row r="41" spans="1:10" ht="15.75" x14ac:dyDescent="0.25">
      <c r="A41" s="11" t="s">
        <v>20</v>
      </c>
      <c r="B41" s="7">
        <v>922500</v>
      </c>
      <c r="C41" s="5">
        <v>28856.329875625001</v>
      </c>
      <c r="D41" s="7">
        <v>78439</v>
      </c>
      <c r="E41" s="7">
        <v>2823.4850000000001</v>
      </c>
      <c r="F41" s="6">
        <v>1698</v>
      </c>
      <c r="G41" s="8">
        <v>3100</v>
      </c>
      <c r="H41" s="8">
        <v>600</v>
      </c>
      <c r="I41" s="8">
        <v>5000</v>
      </c>
      <c r="J41" s="8">
        <v>0</v>
      </c>
    </row>
    <row r="42" spans="1:10" ht="15.75" x14ac:dyDescent="0.25">
      <c r="A42" s="11" t="s">
        <v>21</v>
      </c>
      <c r="B42" s="7">
        <v>839500</v>
      </c>
      <c r="C42" s="5">
        <v>28041.063848875001</v>
      </c>
      <c r="D42" s="7">
        <v>6130</v>
      </c>
      <c r="E42" s="7">
        <v>2605.527</v>
      </c>
      <c r="F42" s="6">
        <v>1698</v>
      </c>
      <c r="G42" s="8">
        <v>3100</v>
      </c>
      <c r="H42" s="8">
        <v>600</v>
      </c>
      <c r="I42" s="8">
        <v>5000</v>
      </c>
      <c r="J42" s="8">
        <v>0</v>
      </c>
    </row>
    <row r="43" spans="1:10" ht="15.75" x14ac:dyDescent="0.25">
      <c r="A43" s="11" t="s">
        <v>22</v>
      </c>
      <c r="B43" s="7">
        <v>853500</v>
      </c>
      <c r="C43" s="5">
        <v>28178.578600375</v>
      </c>
      <c r="D43" s="7">
        <v>6130</v>
      </c>
      <c r="E43" s="7">
        <v>2642.2909999999997</v>
      </c>
      <c r="F43" s="6">
        <v>1698</v>
      </c>
      <c r="G43" s="8">
        <v>3100</v>
      </c>
      <c r="H43" s="8">
        <v>600</v>
      </c>
      <c r="I43" s="8">
        <v>5000</v>
      </c>
      <c r="J43" s="8">
        <v>0</v>
      </c>
    </row>
    <row r="44" spans="1:10" ht="15.75" x14ac:dyDescent="0.25">
      <c r="A44" s="11" t="s">
        <v>23</v>
      </c>
      <c r="B44" s="7">
        <v>824500</v>
      </c>
      <c r="C44" s="5">
        <v>27893.726615125001</v>
      </c>
      <c r="D44" s="7">
        <v>6130</v>
      </c>
      <c r="E44" s="7">
        <v>2566.1369999999997</v>
      </c>
      <c r="F44" s="6">
        <v>1698</v>
      </c>
      <c r="G44" s="8">
        <v>3100</v>
      </c>
      <c r="H44" s="8">
        <v>600</v>
      </c>
      <c r="I44" s="8">
        <v>5000</v>
      </c>
      <c r="J44" s="8">
        <v>0</v>
      </c>
    </row>
    <row r="45" spans="1:10" ht="15.75" x14ac:dyDescent="0.25">
      <c r="A45" s="11" t="s">
        <v>24</v>
      </c>
      <c r="B45" s="7">
        <v>859500</v>
      </c>
      <c r="C45" s="5">
        <v>28237.513493875005</v>
      </c>
      <c r="D45" s="7">
        <v>6130</v>
      </c>
      <c r="E45" s="7">
        <v>2658.0470000000005</v>
      </c>
      <c r="F45" s="6">
        <v>1698</v>
      </c>
      <c r="G45" s="8">
        <v>3100</v>
      </c>
      <c r="H45" s="8">
        <v>600</v>
      </c>
      <c r="I45" s="8">
        <v>5000</v>
      </c>
      <c r="J45" s="8">
        <v>0</v>
      </c>
    </row>
    <row r="46" spans="1:10" ht="15.75" x14ac:dyDescent="0.25">
      <c r="A46" s="11" t="s">
        <v>25</v>
      </c>
      <c r="B46" s="7">
        <v>868500</v>
      </c>
      <c r="C46" s="5">
        <v>28325.915834125</v>
      </c>
      <c r="D46" s="7">
        <v>6130</v>
      </c>
      <c r="E46" s="7">
        <v>2681.681</v>
      </c>
      <c r="F46" s="6">
        <v>1698</v>
      </c>
      <c r="G46" s="8">
        <v>3100</v>
      </c>
      <c r="H46" s="8">
        <v>600</v>
      </c>
      <c r="I46" s="8">
        <v>5000</v>
      </c>
      <c r="J46" s="8">
        <v>0</v>
      </c>
    </row>
    <row r="47" spans="1:10" ht="15.75" x14ac:dyDescent="0.25">
      <c r="A47" s="11" t="s">
        <v>26</v>
      </c>
      <c r="B47" s="7">
        <v>922500</v>
      </c>
      <c r="C47" s="5">
        <v>28856.329875625001</v>
      </c>
      <c r="D47" s="7">
        <v>6130</v>
      </c>
      <c r="E47" s="7">
        <v>2823.4850000000001</v>
      </c>
      <c r="F47" s="6">
        <v>1698</v>
      </c>
      <c r="G47" s="8">
        <v>3100</v>
      </c>
      <c r="H47" s="8">
        <v>600</v>
      </c>
      <c r="I47" s="8">
        <v>5000</v>
      </c>
      <c r="J47" s="8">
        <v>0</v>
      </c>
    </row>
    <row r="48" spans="1:10" ht="15.75" x14ac:dyDescent="0.25">
      <c r="A48" s="11" t="s">
        <v>27</v>
      </c>
      <c r="B48" s="7">
        <v>871500</v>
      </c>
      <c r="C48" s="5">
        <v>28355.383280875001</v>
      </c>
      <c r="D48" s="7">
        <v>74318.2</v>
      </c>
      <c r="E48" s="7">
        <v>2689.5590000000002</v>
      </c>
      <c r="F48" s="6">
        <v>1698</v>
      </c>
      <c r="G48" s="8">
        <v>3100</v>
      </c>
      <c r="H48" s="8">
        <v>600</v>
      </c>
      <c r="I48" s="8">
        <v>5000</v>
      </c>
      <c r="J48" s="8">
        <v>0</v>
      </c>
    </row>
    <row r="49" spans="1:10" ht="15.75" x14ac:dyDescent="0.25">
      <c r="A49" s="11" t="s">
        <v>28</v>
      </c>
      <c r="B49" s="7">
        <v>911500</v>
      </c>
      <c r="C49" s="5">
        <v>28748.282570874999</v>
      </c>
      <c r="D49" s="7">
        <v>77550.2</v>
      </c>
      <c r="E49" s="7">
        <v>2794.5990000000002</v>
      </c>
      <c r="F49" s="6">
        <v>1698</v>
      </c>
      <c r="G49" s="8">
        <v>3100</v>
      </c>
      <c r="H49" s="8">
        <v>600</v>
      </c>
      <c r="I49" s="8">
        <v>5000</v>
      </c>
      <c r="J49" s="8">
        <v>0</v>
      </c>
    </row>
    <row r="50" spans="1:10" ht="15.75" x14ac:dyDescent="0.25">
      <c r="A50" s="11" t="s">
        <v>29</v>
      </c>
      <c r="B50" s="7">
        <v>714500</v>
      </c>
      <c r="C50" s="5">
        <v>26813.253567624997</v>
      </c>
      <c r="D50" s="7">
        <v>61632.6</v>
      </c>
      <c r="E50" s="7">
        <v>2277.277</v>
      </c>
      <c r="F50" s="6">
        <v>1459</v>
      </c>
      <c r="G50" s="8">
        <v>3100</v>
      </c>
      <c r="H50" s="8">
        <v>600</v>
      </c>
      <c r="I50" s="8">
        <v>5000</v>
      </c>
      <c r="J50" s="8">
        <v>0</v>
      </c>
    </row>
    <row r="51" spans="1:10" ht="15.75" x14ac:dyDescent="0.25">
      <c r="A51" s="11" t="s">
        <v>30</v>
      </c>
      <c r="B51" s="7">
        <v>593500</v>
      </c>
      <c r="C51" s="5">
        <v>25624.733215374999</v>
      </c>
      <c r="D51" s="7">
        <v>51855.8</v>
      </c>
      <c r="E51" s="7">
        <v>1959.5310000000002</v>
      </c>
      <c r="F51" s="6">
        <v>1459</v>
      </c>
      <c r="G51" s="8">
        <v>3100</v>
      </c>
      <c r="H51" s="8">
        <v>600</v>
      </c>
      <c r="I51" s="8">
        <v>5000</v>
      </c>
      <c r="J51" s="8">
        <v>0</v>
      </c>
    </row>
    <row r="52" spans="1:10" ht="15.75" x14ac:dyDescent="0.25">
      <c r="A52" s="11" t="s">
        <v>31</v>
      </c>
      <c r="B52" s="7">
        <v>621000</v>
      </c>
      <c r="C52" s="5">
        <v>25894.851477250002</v>
      </c>
      <c r="D52" s="7">
        <v>54077.8</v>
      </c>
      <c r="E52" s="7">
        <v>2031.7460000000001</v>
      </c>
      <c r="F52" s="6">
        <v>1459</v>
      </c>
      <c r="G52" s="8">
        <v>3100</v>
      </c>
      <c r="H52" s="8">
        <v>600</v>
      </c>
      <c r="I52" s="8">
        <v>5000</v>
      </c>
      <c r="J52" s="8">
        <v>0</v>
      </c>
    </row>
    <row r="53" spans="1:10" ht="15.75" x14ac:dyDescent="0.25">
      <c r="A53" s="11" t="s">
        <v>32</v>
      </c>
      <c r="B53" s="7">
        <v>644500</v>
      </c>
      <c r="C53" s="5">
        <v>26125.679810124999</v>
      </c>
      <c r="D53" s="7">
        <v>55976.6</v>
      </c>
      <c r="E53" s="7">
        <v>2093.4569999999999</v>
      </c>
      <c r="F53" s="6">
        <v>1459</v>
      </c>
      <c r="G53" s="8">
        <v>3100</v>
      </c>
      <c r="H53" s="8">
        <v>600</v>
      </c>
      <c r="I53" s="8">
        <v>5000</v>
      </c>
      <c r="J53" s="8">
        <v>0</v>
      </c>
    </row>
    <row r="54" spans="1:10" ht="15.75" x14ac:dyDescent="0.25">
      <c r="A54" s="11" t="s">
        <v>33</v>
      </c>
      <c r="B54" s="7">
        <v>665500</v>
      </c>
      <c r="C54" s="5">
        <v>26331.951937375001</v>
      </c>
      <c r="D54" s="7">
        <v>57673.4</v>
      </c>
      <c r="E54" s="7">
        <v>2148.6030000000001</v>
      </c>
      <c r="F54" s="6">
        <v>1459</v>
      </c>
      <c r="G54" s="8">
        <v>3100</v>
      </c>
      <c r="H54" s="8">
        <v>600</v>
      </c>
      <c r="I54" s="8">
        <v>5000</v>
      </c>
      <c r="J54" s="8">
        <v>0</v>
      </c>
    </row>
    <row r="55" spans="1:10" ht="15.75" x14ac:dyDescent="0.25">
      <c r="A55" s="11" t="s">
        <v>34</v>
      </c>
      <c r="B55" s="7">
        <v>487907</v>
      </c>
      <c r="C55" s="5">
        <v>24587.547847150752</v>
      </c>
      <c r="D55" s="7">
        <v>42722.885599999994</v>
      </c>
      <c r="E55" s="7">
        <v>1681.2437820000002</v>
      </c>
      <c r="F55" s="6">
        <v>0</v>
      </c>
      <c r="G55" s="8">
        <v>3100</v>
      </c>
      <c r="H55" s="8">
        <v>600</v>
      </c>
      <c r="I55" s="8">
        <v>5000</v>
      </c>
      <c r="J55" s="8">
        <v>0</v>
      </c>
    </row>
    <row r="56" spans="1:10" ht="15.75" x14ac:dyDescent="0.25">
      <c r="A56" s="11" t="s">
        <v>35</v>
      </c>
      <c r="B56" s="7">
        <v>528766</v>
      </c>
      <c r="C56" s="5">
        <v>24988.884649403502</v>
      </c>
      <c r="D56" s="7">
        <v>46024.292799999996</v>
      </c>
      <c r="E56" s="7">
        <v>1788.539516</v>
      </c>
      <c r="F56" s="6">
        <v>0</v>
      </c>
      <c r="G56" s="8">
        <v>3100</v>
      </c>
      <c r="H56" s="8">
        <v>600</v>
      </c>
      <c r="I56" s="8">
        <v>5000</v>
      </c>
      <c r="J56" s="8">
        <v>0</v>
      </c>
    </row>
    <row r="57" spans="1:10" ht="15.75" x14ac:dyDescent="0.25">
      <c r="A57" s="11" t="s">
        <v>36</v>
      </c>
      <c r="B57" s="7">
        <v>447148</v>
      </c>
      <c r="C57" s="5">
        <v>24187.193293123</v>
      </c>
      <c r="D57" s="7">
        <v>39429.558400000002</v>
      </c>
      <c r="E57" s="7">
        <v>1574.210648</v>
      </c>
      <c r="F57" s="6">
        <v>0</v>
      </c>
      <c r="G57" s="8">
        <v>3100</v>
      </c>
      <c r="H57" s="8">
        <v>600</v>
      </c>
      <c r="I57" s="8">
        <v>5000</v>
      </c>
      <c r="J57" s="8">
        <v>0</v>
      </c>
    </row>
    <row r="58" spans="1:10" ht="15.75" x14ac:dyDescent="0.25">
      <c r="A58" s="11" t="s">
        <v>37</v>
      </c>
      <c r="B58" s="7">
        <v>532207</v>
      </c>
      <c r="C58" s="5">
        <v>25022.683810825751</v>
      </c>
      <c r="D58" s="7">
        <v>46302.325599999996</v>
      </c>
      <c r="E58" s="7">
        <v>1797.5755819999999</v>
      </c>
      <c r="F58" s="6">
        <v>0</v>
      </c>
      <c r="G58" s="8">
        <v>3100</v>
      </c>
      <c r="H58" s="8">
        <v>600</v>
      </c>
      <c r="I58" s="8">
        <v>5000</v>
      </c>
      <c r="J58" s="8">
        <v>0</v>
      </c>
    </row>
    <row r="59" spans="1:10" ht="15.75" x14ac:dyDescent="0.25">
      <c r="A59" s="11" t="s">
        <v>38</v>
      </c>
      <c r="B59" s="7">
        <v>312781</v>
      </c>
      <c r="C59" s="5">
        <v>9399.921539828807</v>
      </c>
      <c r="D59" s="7">
        <v>28572.7048</v>
      </c>
      <c r="E59" s="7">
        <v>1221.3629059999998</v>
      </c>
      <c r="F59" s="6">
        <v>0</v>
      </c>
      <c r="G59" s="8">
        <v>3100</v>
      </c>
      <c r="H59" s="8">
        <v>0</v>
      </c>
      <c r="I59" s="8">
        <v>5000</v>
      </c>
      <c r="J59" s="8">
        <v>0</v>
      </c>
    </row>
    <row r="60" spans="1:10" ht="15.75" x14ac:dyDescent="0.25">
      <c r="A60" s="11" t="s">
        <v>39</v>
      </c>
      <c r="B60" s="7">
        <v>352990</v>
      </c>
      <c r="C60" s="5">
        <v>11022.829734274999</v>
      </c>
      <c r="D60" s="7">
        <v>20000</v>
      </c>
      <c r="E60" s="7">
        <v>1326.9517400000002</v>
      </c>
      <c r="F60" s="6">
        <v>0</v>
      </c>
      <c r="G60" s="8">
        <v>3100</v>
      </c>
      <c r="H60" s="8">
        <v>0</v>
      </c>
      <c r="I60" s="8">
        <v>5000</v>
      </c>
      <c r="J60" s="8">
        <v>0</v>
      </c>
    </row>
    <row r="61" spans="1:10" ht="15.75" x14ac:dyDescent="0.25">
      <c r="A61" s="11" t="s">
        <v>40</v>
      </c>
      <c r="B61" s="7">
        <v>458966</v>
      </c>
      <c r="C61" s="5">
        <v>11155.8453883535</v>
      </c>
      <c r="D61" s="7">
        <v>1500</v>
      </c>
      <c r="E61" s="7">
        <v>400</v>
      </c>
      <c r="F61" s="6">
        <v>0</v>
      </c>
      <c r="G61" s="8">
        <v>3100</v>
      </c>
      <c r="H61" s="8">
        <v>0</v>
      </c>
      <c r="I61" s="8">
        <v>7500</v>
      </c>
      <c r="J61" s="8">
        <v>0</v>
      </c>
    </row>
    <row r="62" spans="1:10" ht="15.75" x14ac:dyDescent="0.25">
      <c r="A62" s="11" t="s">
        <v>41</v>
      </c>
      <c r="B62" s="7">
        <v>418827</v>
      </c>
      <c r="C62" s="5">
        <v>10761.580773320749</v>
      </c>
      <c r="D62" s="7">
        <v>1500</v>
      </c>
      <c r="E62" s="7">
        <v>400</v>
      </c>
      <c r="F62" s="6">
        <v>0</v>
      </c>
      <c r="G62" s="8">
        <v>3100</v>
      </c>
      <c r="H62" s="8">
        <v>0</v>
      </c>
      <c r="I62" s="8">
        <v>7500</v>
      </c>
      <c r="J62" s="8">
        <v>0</v>
      </c>
    </row>
    <row r="63" spans="1:10" ht="15.75" x14ac:dyDescent="0.25">
      <c r="A63" s="11" t="s">
        <v>42</v>
      </c>
      <c r="B63" s="7">
        <v>394900</v>
      </c>
      <c r="C63" s="5">
        <v>10526.558240525001</v>
      </c>
      <c r="D63" s="7">
        <v>1500</v>
      </c>
      <c r="E63" s="7">
        <v>400</v>
      </c>
      <c r="F63" s="6">
        <v>0</v>
      </c>
      <c r="G63" s="8">
        <v>3100</v>
      </c>
      <c r="H63" s="8">
        <v>0</v>
      </c>
      <c r="I63" s="8">
        <v>7500</v>
      </c>
      <c r="J63" s="8">
        <v>0</v>
      </c>
    </row>
    <row r="64" spans="1:10" ht="15.75" x14ac:dyDescent="0.25">
      <c r="A64" s="11" t="s">
        <v>43</v>
      </c>
      <c r="B64" s="7">
        <v>787646</v>
      </c>
      <c r="C64" s="5">
        <v>25004.378854283499</v>
      </c>
      <c r="D64" s="7">
        <v>1500</v>
      </c>
      <c r="E64" s="7">
        <v>400</v>
      </c>
      <c r="F64" s="6">
        <v>0</v>
      </c>
      <c r="G64" s="8">
        <v>3100</v>
      </c>
      <c r="H64" s="8">
        <v>600</v>
      </c>
      <c r="I64" s="8">
        <v>7500</v>
      </c>
      <c r="J64" s="8">
        <v>0</v>
      </c>
    </row>
    <row r="65" spans="1:10" ht="15.75" x14ac:dyDescent="0.25">
      <c r="A65" s="11" t="s">
        <v>44</v>
      </c>
      <c r="B65" s="7">
        <v>819320</v>
      </c>
      <c r="C65" s="5">
        <v>25315.496157069996</v>
      </c>
      <c r="D65" s="7">
        <v>1500</v>
      </c>
      <c r="E65" s="7">
        <v>400</v>
      </c>
      <c r="F65" s="6">
        <v>0</v>
      </c>
      <c r="G65" s="8">
        <v>3100</v>
      </c>
      <c r="H65" s="8">
        <v>600</v>
      </c>
      <c r="I65" s="8">
        <v>7500</v>
      </c>
      <c r="J65" s="8">
        <v>0</v>
      </c>
    </row>
    <row r="66" spans="1:10" ht="15.75" x14ac:dyDescent="0.25">
      <c r="A66" s="11" t="s">
        <v>45</v>
      </c>
      <c r="B66" s="7">
        <v>806081</v>
      </c>
      <c r="C66" s="5">
        <v>25185.456314562249</v>
      </c>
      <c r="D66" s="7">
        <v>1500</v>
      </c>
      <c r="E66" s="7">
        <v>400</v>
      </c>
      <c r="F66" s="6">
        <v>0</v>
      </c>
      <c r="G66" s="8">
        <v>3100</v>
      </c>
      <c r="H66" s="8">
        <v>600</v>
      </c>
      <c r="I66" s="8">
        <v>7500</v>
      </c>
      <c r="J66" s="8">
        <v>0</v>
      </c>
    </row>
    <row r="67" spans="1:10" ht="15.75" x14ac:dyDescent="0.25">
      <c r="A67" s="11" t="s">
        <v>46</v>
      </c>
      <c r="B67" s="7">
        <v>836935</v>
      </c>
      <c r="C67" s="5">
        <v>25488.519181903746</v>
      </c>
      <c r="D67" s="7">
        <v>1500</v>
      </c>
      <c r="E67" s="7">
        <v>400</v>
      </c>
      <c r="F67" s="6">
        <v>0</v>
      </c>
      <c r="G67" s="8">
        <v>3100</v>
      </c>
      <c r="H67" s="8">
        <v>600</v>
      </c>
      <c r="I67" s="8">
        <v>7500</v>
      </c>
      <c r="J67" s="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1" sqref="B1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QA</vt:lpstr>
      <vt:lpstr>Sheet1</vt:lpstr>
      <vt:lpstr>PRICE</vt:lpstr>
      <vt:lpstr>Sheet3</vt:lpstr>
      <vt:lpstr>QA!Print_Area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2026-07-24T11:33:20Z</dcterms:modified>
</cp:coreProperties>
</file>